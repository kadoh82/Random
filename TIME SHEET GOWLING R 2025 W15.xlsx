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600" documentId="13_ncr:1_{D91951D4-751E-4B9B-A862-CF6B5AA3C3EA}" xr6:coauthVersionLast="47" xr6:coauthVersionMax="47" xr10:uidLastSave="{40A731CA-7C21-41D5-8A96-1F8DD7385BA8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AG11" i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30" i="1" l="1"/>
  <c r="AM29" i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11" i="1" l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<sst xmlns="http://schemas.openxmlformats.org/spreadsheetml/2006/main" count="117" uniqueCount="53">
  <si>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</si>
  <si>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</si>
  <si>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</si>
  <si>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</si>
  <si>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</si>
  <si>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</si>
  <si>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</si>
  <si>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</si>
  <si>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</si>
  <si>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</si>
  <si>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</si>
  <si>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</si>
  <si>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</si>
  <si>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</si>
  <si>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</si>
  <si>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</si>
  <si>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</si>
  <si>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</si>
  <si>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</si>
  <si>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</si>
  <si>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</si>
  <si>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</si>
  <si>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</si>
  <si>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</si>
  <si>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</si>
  <si>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</si>
  <si>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</si>
  <si>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</si>
  <si>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</si>
  <si>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</si>
  <si>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</si>
  <si>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</si>
  <si>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</si>
  <si>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</si>
  <si>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</si>
  <si>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</si>
  <si>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</si>
  <si>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</si>
  <si>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</si>
  <si>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</si>
  <si>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</si>
  <si>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</si>
  <si>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</si>
  <si>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</si>
  <si>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</si>
  <si>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</si>
  <si>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</si>
  <si>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</si>
  <si>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Dean Richards</t>
  </si>
  <si>
    <t xml:space="preserve">EMPLOYEE NAME: RHYS GOWLING </t>
  </si>
  <si>
    <t xml:space="preserve">
The Carpenters Ruiston   Taunton                                      TA3 5JE</t>
  </si>
  <si>
    <t xml:space="preserve">Junction 25 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</si>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</sst>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30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0" fontId="8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2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0" fontId="21" fillId="5" borderId="11" xfId="0" applyNumberFormat="1" applyFont="1" applyFill="1" applyBorder="1" applyAlignment="1">
      <alignment horizontal="center" vertical="center"/>
    </xf>
    <xf numFmtId="166" fontId="21" fillId="5" borderId="6" xfId="0" applyNumberFormat="1" applyFont="1" applyFill="1" applyBorder="1" applyAlignment="1">
      <alignment horizontal="center" vertical="center"/>
    </xf>
    <xf numFmtId="165" fontId="21" fillId="5" borderId="9" xfId="0" applyNumberFormat="1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165" fontId="21" fillId="5" borderId="4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65" fontId="21" fillId="5" borderId="6" xfId="0" applyNumberFormat="1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9" fontId="21" fillId="5" borderId="9" xfId="1" applyFont="1" applyFill="1" applyBorder="1" applyAlignment="1">
      <alignment horizontal="center" vertical="center"/>
    </xf>
    <xf numFmtId="9" fontId="21" fillId="5" borderId="12" xfId="1" applyFont="1" applyFill="1" applyBorder="1" applyAlignment="1">
      <alignment horizontal="center" vertical="center"/>
    </xf>
    <xf numFmtId="166" fontId="21" fillId="5" borderId="9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4" fontId="23" fillId="3" borderId="7" xfId="0" applyNumberFormat="1" applyFont="1" applyFill="1" applyBorder="1" applyAlignment="1">
      <alignment horizontal="center" vertical="center"/>
    </xf>
    <xf numFmtId="164" fontId="23" fillId="3" borderId="8" xfId="0" applyNumberFormat="1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20" fontId="21" fillId="0" borderId="13" xfId="0" applyNumberFormat="1" applyFont="1" applyBorder="1" applyAlignment="1">
      <alignment horizontal="center" vertical="center"/>
    </xf>
    <xf numFmtId="164" fontId="21" fillId="0" borderId="13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horizontal="right" vertical="center"/>
    </xf>
    <xf numFmtId="20" fontId="25" fillId="0" borderId="1" xfId="0" applyNumberFormat="1" applyFont="1" applyBorder="1" applyAlignment="1">
      <alignment horizontal="center" vertical="center"/>
    </xf>
    <xf numFmtId="20" fontId="25" fillId="0" borderId="5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20" fontId="25" fillId="5" borderId="11" xfId="0" applyNumberFormat="1" applyFont="1" applyFill="1" applyBorder="1" applyAlignment="1">
      <alignment horizontal="center" vertical="center"/>
    </xf>
    <xf numFmtId="166" fontId="25" fillId="5" borderId="6" xfId="0" applyNumberFormat="1" applyFont="1" applyFill="1" applyBorder="1" applyAlignment="1">
      <alignment horizontal="center" vertical="center"/>
    </xf>
    <xf numFmtId="166" fontId="25" fillId="0" borderId="2" xfId="0" applyNumberFormat="1" applyFont="1" applyBorder="1" applyAlignment="1">
      <alignment horizontal="center" vertical="center"/>
    </xf>
    <xf numFmtId="166" fontId="25" fillId="0" borderId="3" xfId="0" applyNumberFormat="1" applyFont="1" applyBorder="1" applyAlignment="1">
      <alignment horizontal="center" vertical="center"/>
    </xf>
    <xf numFmtId="20" fontId="21" fillId="5" borderId="4" xfId="0" applyNumberFormat="1" applyFont="1" applyFill="1" applyBorder="1" applyAlignment="1">
      <alignment horizontal="center" vertical="center"/>
    </xf>
    <xf numFmtId="20" fontId="21" fillId="5" borderId="6" xfId="0" applyNumberFormat="1" applyFont="1" applyFill="1" applyBorder="1" applyAlignment="1">
      <alignment horizontal="center" vertical="center"/>
    </xf>
    <xf numFmtId="20" fontId="25" fillId="0" borderId="7" xfId="0" applyNumberFormat="1" applyFont="1" applyBorder="1" applyAlignment="1">
      <alignment horizontal="center" vertical="center"/>
    </xf>
    <xf numFmtId="20" fontId="25" fillId="0" borderId="8" xfId="0" applyNumberFormat="1" applyFont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21" fillId="2" borderId="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1" fillId="2" borderId="13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24" fillId="0" borderId="1" xfId="0" applyFont="1" applyBorder="1" applyAlignment="1">
      <alignment horizontal="left" wrapText="1"/>
    </xf>
    <xf numFmtId="0" fontId="24" fillId="0" borderId="6" xfId="0" applyFont="1" applyBorder="1" applyAlignment="1">
      <alignment horizontal="left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21" fillId="2" borderId="14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351473</xdr:colOff>
      <xdr:row>0</xdr:row>
      <xdr:rowOff>60959</xdr:rowOff>
    </xdr:from>
    <xdr:to>
      <xdr:col>2</xdr:col>
      <xdr:colOff>3332799</xdr:colOff>
      <xdr:row>2</xdr:row>
      <xdr:rowOff>435424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3" y="60959"/>
          <a:ext cx="4351974" cy="171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X10" sqref="X10"/>
    </sheetView>
  </sheetViews>
  <sheetFormatPr defaultColWidth="12.88671875" defaultRowHeight="53.25" customHeight="1" x14ac:dyDescent="0.7"/>
  <cols>
    <col min="1" max="1" width="12.33203125" style="22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21">
        <v>2025</v>
      </c>
      <c r="B1" s="19" t="str">
        <f>RIGHT(D4,2)</f>
        <v>15</v>
      </c>
    </row>
    <row r="2" spans="1:39" ht="53.25" customHeight="1" x14ac:dyDescent="0.85">
      <c r="N2" s="149" t="s">
        <v>49</v>
      </c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1"/>
      <c r="AD2" s="20" t="s">
        <v>45</v>
      </c>
      <c r="AE2" s="20">
        <v>400</v>
      </c>
    </row>
    <row r="3" spans="1:39" ht="53.25" customHeight="1" thickBot="1" x14ac:dyDescent="0.75">
      <c r="N3" s="152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4"/>
    </row>
    <row r="4" spans="1:39" ht="53.25" customHeight="1" thickBot="1" x14ac:dyDescent="0.75">
      <c r="C4" s="33" t="s">
        <v>10</v>
      </c>
      <c r="D4" s="146" t="s">
        <v>52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8"/>
    </row>
    <row r="5" spans="1:39" ht="65.25" customHeight="1" x14ac:dyDescent="0.7">
      <c r="C5" s="33" t="s">
        <v>11</v>
      </c>
      <c r="D5" s="142">
        <f>DATE(A1, 1, -3 + 7 * B1 - WEEKDAY(DATE(A1, 1, 4), 2) + 1)</f>
        <v>45754</v>
      </c>
      <c r="E5" s="143"/>
      <c r="F5" s="143"/>
      <c r="G5" s="143"/>
      <c r="H5" s="144"/>
      <c r="I5" s="142">
        <f>D5+1</f>
        <v>45755</v>
      </c>
      <c r="J5" s="143"/>
      <c r="K5" s="143"/>
      <c r="L5" s="143"/>
      <c r="M5" s="144"/>
      <c r="N5" s="142">
        <f t="shared" ref="N5" si="0">I5+1</f>
        <v>45756</v>
      </c>
      <c r="O5" s="143"/>
      <c r="P5" s="143"/>
      <c r="Q5" s="143"/>
      <c r="R5" s="144"/>
      <c r="S5" s="142">
        <f t="shared" ref="S5" si="1">N5+1</f>
        <v>45757</v>
      </c>
      <c r="T5" s="143"/>
      <c r="U5" s="143"/>
      <c r="V5" s="143"/>
      <c r="W5" s="144"/>
      <c r="X5" s="142">
        <f t="shared" ref="X5" si="2">S5+1</f>
        <v>45758</v>
      </c>
      <c r="Y5" s="143"/>
      <c r="Z5" s="143"/>
      <c r="AA5" s="143"/>
      <c r="AB5" s="144"/>
      <c r="AC5" s="142">
        <f t="shared" ref="AC5" si="3">X5+1</f>
        <v>45759</v>
      </c>
      <c r="AD5" s="143"/>
      <c r="AE5" s="143"/>
      <c r="AF5" s="143"/>
      <c r="AG5" s="144"/>
      <c r="AH5" s="142">
        <f t="shared" ref="AH5" si="4">AC5+1</f>
        <v>45760</v>
      </c>
      <c r="AI5" s="143"/>
      <c r="AJ5" s="143"/>
      <c r="AK5" s="143"/>
      <c r="AL5" s="144"/>
      <c r="AM5" s="93" t="s">
        <v>30</v>
      </c>
    </row>
    <row r="6" spans="1:39" ht="65.25" customHeight="1" thickBot="1" x14ac:dyDescent="0.75">
      <c r="C6" s="33" t="s">
        <v>12</v>
      </c>
      <c r="D6" s="135" t="s">
        <v>31</v>
      </c>
      <c r="E6" s="136"/>
      <c r="F6" s="136"/>
      <c r="G6" s="136"/>
      <c r="H6" s="137"/>
      <c r="I6" s="168" t="s">
        <v>32</v>
      </c>
      <c r="J6" s="136"/>
      <c r="K6" s="136"/>
      <c r="L6" s="136"/>
      <c r="M6" s="145"/>
      <c r="N6" s="135" t="s">
        <v>33</v>
      </c>
      <c r="O6" s="136"/>
      <c r="P6" s="136"/>
      <c r="Q6" s="136"/>
      <c r="R6" s="137"/>
      <c r="S6" s="135" t="s">
        <v>34</v>
      </c>
      <c r="T6" s="136"/>
      <c r="U6" s="136"/>
      <c r="V6" s="136"/>
      <c r="W6" s="137"/>
      <c r="X6" s="135" t="s">
        <v>35</v>
      </c>
      <c r="Y6" s="136"/>
      <c r="Z6" s="136"/>
      <c r="AA6" s="136"/>
      <c r="AB6" s="137"/>
      <c r="AC6" s="135" t="s">
        <v>36</v>
      </c>
      <c r="AD6" s="136"/>
      <c r="AE6" s="136"/>
      <c r="AF6" s="136"/>
      <c r="AG6" s="137"/>
      <c r="AH6" s="135" t="s">
        <v>37</v>
      </c>
      <c r="AI6" s="136"/>
      <c r="AJ6" s="136"/>
      <c r="AK6" s="136"/>
      <c r="AL6" s="145"/>
      <c r="AM6" s="94"/>
    </row>
    <row r="7" spans="1:39" s="5" customFormat="1" ht="46.8" thickBot="1" x14ac:dyDescent="0.35">
      <c r="A7" s="23"/>
      <c r="B7" s="11"/>
      <c r="C7" s="11"/>
      <c r="D7" s="169" t="s">
        <v>5</v>
      </c>
      <c r="E7" s="98"/>
      <c r="F7" s="98" t="s">
        <v>6</v>
      </c>
      <c r="G7" s="98"/>
      <c r="H7" s="170" t="s">
        <v>29</v>
      </c>
      <c r="I7" s="172" t="s">
        <v>5</v>
      </c>
      <c r="J7" s="98"/>
      <c r="K7" s="98" t="s">
        <v>6</v>
      </c>
      <c r="L7" s="98"/>
      <c r="M7" s="173" t="s">
        <v>29</v>
      </c>
      <c r="N7" s="138" t="s">
        <v>5</v>
      </c>
      <c r="O7" s="139"/>
      <c r="P7" s="138" t="s">
        <v>6</v>
      </c>
      <c r="Q7" s="139"/>
      <c r="R7" s="140" t="s">
        <v>29</v>
      </c>
      <c r="S7" s="138" t="s">
        <v>5</v>
      </c>
      <c r="T7" s="139"/>
      <c r="U7" s="138" t="s">
        <v>6</v>
      </c>
      <c r="V7" s="139"/>
      <c r="W7" s="140" t="s">
        <v>29</v>
      </c>
      <c r="X7" s="138" t="s">
        <v>5</v>
      </c>
      <c r="Y7" s="139"/>
      <c r="Z7" s="138" t="s">
        <v>6</v>
      </c>
      <c r="AA7" s="139"/>
      <c r="AB7" s="140" t="s">
        <v>29</v>
      </c>
      <c r="AC7" s="138" t="s">
        <v>5</v>
      </c>
      <c r="AD7" s="139"/>
      <c r="AE7" s="138" t="s">
        <v>6</v>
      </c>
      <c r="AF7" s="139"/>
      <c r="AG7" s="140" t="s">
        <v>29</v>
      </c>
      <c r="AH7" s="138" t="s">
        <v>5</v>
      </c>
      <c r="AI7" s="139"/>
      <c r="AJ7" s="138" t="s">
        <v>6</v>
      </c>
      <c r="AK7" s="139"/>
      <c r="AL7" s="140" t="s">
        <v>29</v>
      </c>
      <c r="AM7" s="94"/>
    </row>
    <row r="8" spans="1:39" s="5" customFormat="1" ht="65.25" customHeight="1" thickBot="1" x14ac:dyDescent="0.35">
      <c r="A8" s="24">
        <v>1</v>
      </c>
      <c r="B8" s="98" t="s">
        <v>13</v>
      </c>
      <c r="C8" s="99"/>
      <c r="D8" s="40" t="s">
        <v>7</v>
      </c>
      <c r="E8" s="35" t="s">
        <v>8</v>
      </c>
      <c r="F8" s="35" t="s">
        <v>9</v>
      </c>
      <c r="G8" s="35" t="s">
        <v>8</v>
      </c>
      <c r="H8" s="171"/>
      <c r="I8" s="34" t="s">
        <v>7</v>
      </c>
      <c r="J8" s="35" t="s">
        <v>8</v>
      </c>
      <c r="K8" s="35" t="s">
        <v>9</v>
      </c>
      <c r="L8" s="35" t="s">
        <v>8</v>
      </c>
      <c r="M8" s="174"/>
      <c r="N8" s="36" t="s">
        <v>7</v>
      </c>
      <c r="O8" s="37" t="s">
        <v>8</v>
      </c>
      <c r="P8" s="37" t="s">
        <v>9</v>
      </c>
      <c r="Q8" s="38" t="s">
        <v>8</v>
      </c>
      <c r="R8" s="141"/>
      <c r="S8" s="39" t="s">
        <v>7</v>
      </c>
      <c r="T8" s="37" t="s">
        <v>8</v>
      </c>
      <c r="U8" s="37" t="s">
        <v>9</v>
      </c>
      <c r="V8" s="38" t="s">
        <v>8</v>
      </c>
      <c r="W8" s="141"/>
      <c r="X8" s="39" t="s">
        <v>7</v>
      </c>
      <c r="Y8" s="37" t="s">
        <v>8</v>
      </c>
      <c r="Z8" s="37" t="s">
        <v>9</v>
      </c>
      <c r="AA8" s="38" t="s">
        <v>8</v>
      </c>
      <c r="AB8" s="141"/>
      <c r="AC8" s="39" t="s">
        <v>7</v>
      </c>
      <c r="AD8" s="37" t="s">
        <v>8</v>
      </c>
      <c r="AE8" s="37" t="s">
        <v>9</v>
      </c>
      <c r="AF8" s="38" t="s">
        <v>8</v>
      </c>
      <c r="AG8" s="141"/>
      <c r="AH8" s="39" t="s">
        <v>7</v>
      </c>
      <c r="AI8" s="37" t="s">
        <v>8</v>
      </c>
      <c r="AJ8" s="37" t="s">
        <v>9</v>
      </c>
      <c r="AK8" s="38" t="s">
        <v>8</v>
      </c>
      <c r="AL8" s="141"/>
      <c r="AM8" s="95"/>
    </row>
    <row r="9" spans="1:39" ht="71.400000000000006" customHeight="1" x14ac:dyDescent="0.7">
      <c r="A9" s="25">
        <v>2</v>
      </c>
      <c r="B9" s="100" t="s">
        <v>0</v>
      </c>
      <c r="C9" s="101"/>
      <c r="D9" s="80">
        <v>0.3125</v>
      </c>
      <c r="E9" s="79">
        <v>0.54166666666666663</v>
      </c>
      <c r="F9" s="79">
        <v>0.5625</v>
      </c>
      <c r="G9" s="79">
        <v>0.66666666666666663</v>
      </c>
      <c r="H9" s="41">
        <f>(E9-D9)+(G9-F9)</f>
        <v>0.33333333333333326</v>
      </c>
      <c r="I9" s="80">
        <v>0.3125</v>
      </c>
      <c r="J9" s="79">
        <v>0.54166666666666663</v>
      </c>
      <c r="K9" s="79">
        <v>0.5625</v>
      </c>
      <c r="L9" s="79">
        <v>0.66666666666666663</v>
      </c>
      <c r="M9" s="83">
        <f t="shared" ref="M9:M11" si="5">(J9-I9)+(L9-K9)</f>
        <v>0.33333333333333326</v>
      </c>
      <c r="N9" s="80">
        <v>0.3125</v>
      </c>
      <c r="O9" s="79">
        <v>0.54166666666666663</v>
      </c>
      <c r="P9" s="79">
        <v>0.5625</v>
      </c>
      <c r="Q9" s="79">
        <v>0.66666666666666663</v>
      </c>
      <c r="R9" s="83">
        <f t="shared" ref="R9:R11" si="6">(O9-N9)+(Q9-P9)</f>
        <v>0.33333333333333326</v>
      </c>
      <c r="S9" s="80">
        <v>0.3125</v>
      </c>
      <c r="T9" s="79">
        <v>0.54166666666666663</v>
      </c>
      <c r="U9" s="79">
        <v>0.5625</v>
      </c>
      <c r="V9" s="79">
        <v>0.66666666666666663</v>
      </c>
      <c r="W9" s="83">
        <f t="shared" ref="W9:W11" si="7">(T9-S9)+(V9-U9)</f>
        <v>0.33333333333333326</v>
      </c>
      <c r="X9" s="80">
        <v>0.3125</v>
      </c>
      <c r="Y9" s="79">
        <v>0.5625</v>
      </c>
      <c r="Z9" s="79"/>
      <c r="AA9" s="79"/>
      <c r="AB9" s="83">
        <f t="shared" ref="AB9:AB10" si="8">(Y9-X9)+(AA9-Z9)</f>
        <v>0.25</v>
      </c>
      <c r="AC9" s="80"/>
      <c r="AD9" s="79"/>
      <c r="AE9" s="81"/>
      <c r="AF9" s="81"/>
      <c r="AG9" s="83">
        <f t="shared" ref="AG9" si="9">(AD9-AC9)+(AF9-AE9)</f>
        <v>0</v>
      </c>
      <c r="AH9" s="85"/>
      <c r="AI9" s="86"/>
      <c r="AJ9" s="86"/>
      <c r="AK9" s="86"/>
      <c r="AL9" s="87">
        <f t="shared" ref="AL9:AL11" si="10">(AI9-AH9)+(AK9-AJ9)</f>
        <v>0</v>
      </c>
      <c r="AM9" s="29">
        <f>(H9+M9+R9+W9+AB9+AG9+AL9)*24</f>
        <v>37.999999999999993</v>
      </c>
    </row>
    <row r="10" spans="1:39" ht="71.400000000000006" customHeight="1" x14ac:dyDescent="0.7">
      <c r="A10" s="25">
        <v>3</v>
      </c>
      <c r="B10" s="100" t="s">
        <v>2</v>
      </c>
      <c r="C10" s="101"/>
      <c r="D10" s="82"/>
      <c r="E10" s="81"/>
      <c r="F10" s="79">
        <v>0.66666666666666663</v>
      </c>
      <c r="G10" s="79">
        <v>0.72916666666666663</v>
      </c>
      <c r="H10" s="41">
        <f t="shared" ref="H10" si="11">(E10-D10)+(G10-F10)</f>
        <v>6.25E-2</v>
      </c>
      <c r="I10" s="82"/>
      <c r="J10" s="81"/>
      <c r="K10" s="79">
        <v>0.66666666666666663</v>
      </c>
      <c r="L10" s="79">
        <v>0.72916666666666663</v>
      </c>
      <c r="M10" s="83">
        <f t="shared" si="5"/>
        <v>6.25E-2</v>
      </c>
      <c r="N10" s="82"/>
      <c r="O10" s="81"/>
      <c r="P10" s="79">
        <v>0.66666666666666663</v>
      </c>
      <c r="Q10" s="79">
        <v>0.72916666666666663</v>
      </c>
      <c r="R10" s="83">
        <f t="shared" si="6"/>
        <v>6.25E-2</v>
      </c>
      <c r="S10" s="82"/>
      <c r="T10" s="81"/>
      <c r="U10" s="79">
        <v>0.66666666666666663</v>
      </c>
      <c r="V10" s="79">
        <v>0.72916666666666663</v>
      </c>
      <c r="W10" s="83">
        <f t="shared" si="7"/>
        <v>6.25E-2</v>
      </c>
      <c r="X10" s="82"/>
      <c r="Y10" s="81"/>
      <c r="Z10" s="79">
        <v>0.58333333333333337</v>
      </c>
      <c r="AA10" s="79">
        <v>0.72916666666666663</v>
      </c>
      <c r="AB10" s="83">
        <f t="shared" si="8"/>
        <v>0.14583333333333326</v>
      </c>
      <c r="AC10" s="80">
        <v>0.3125</v>
      </c>
      <c r="AD10" s="79">
        <v>0.47916666666666669</v>
      </c>
      <c r="AE10" s="79"/>
      <c r="AF10" s="79"/>
      <c r="AG10" s="84">
        <f>(AD10-AC10)+(AF10-AE10)</f>
        <v>0.16666666666666669</v>
      </c>
      <c r="AH10" s="82"/>
      <c r="AI10" s="81"/>
      <c r="AJ10" s="81"/>
      <c r="AK10" s="81"/>
      <c r="AL10" s="88">
        <f t="shared" si="10"/>
        <v>0</v>
      </c>
      <c r="AM10" s="29">
        <f t="shared" ref="AM10" si="12">(H10+M10+R10+W10+AB10+AG10+AL10)*24</f>
        <v>13.5</v>
      </c>
    </row>
    <row r="11" spans="1:39" ht="71.400000000000006" customHeight="1" x14ac:dyDescent="0.7">
      <c r="A11" s="25">
        <v>4</v>
      </c>
      <c r="B11" s="100" t="s">
        <v>3</v>
      </c>
      <c r="C11" s="101"/>
      <c r="D11" s="56"/>
      <c r="E11" s="57"/>
      <c r="F11" s="57"/>
      <c r="G11" s="57"/>
      <c r="H11" s="42">
        <f>(E11-D11)+(G11-F11)</f>
        <v>0</v>
      </c>
      <c r="I11" s="82"/>
      <c r="J11" s="81"/>
      <c r="K11" s="81"/>
      <c r="L11" s="81"/>
      <c r="M11" s="83">
        <f t="shared" si="5"/>
        <v>0</v>
      </c>
      <c r="N11" s="82"/>
      <c r="O11" s="81"/>
      <c r="P11" s="81"/>
      <c r="Q11" s="81"/>
      <c r="R11" s="83">
        <f t="shared" si="6"/>
        <v>0</v>
      </c>
      <c r="S11" s="82"/>
      <c r="T11" s="81"/>
      <c r="U11" s="81"/>
      <c r="V11" s="81"/>
      <c r="W11" s="83">
        <f t="shared" si="7"/>
        <v>0</v>
      </c>
      <c r="X11" s="82"/>
      <c r="Y11" s="81"/>
      <c r="Z11" s="81"/>
      <c r="AA11" s="81"/>
      <c r="AB11" s="84">
        <f>(Y11-X11)+(AA11-Z11)</f>
        <v>0</v>
      </c>
      <c r="AC11" s="79"/>
      <c r="AD11" s="79"/>
      <c r="AE11" s="79">
        <v>0.5</v>
      </c>
      <c r="AF11" s="79">
        <v>0.72916666666666663</v>
      </c>
      <c r="AG11" s="84">
        <f>(AD11-AC11)+(AF11-AE11)</f>
        <v>0.22916666666666663</v>
      </c>
      <c r="AH11" s="80">
        <v>0.3125</v>
      </c>
      <c r="AI11" s="79">
        <v>0.54166666666666663</v>
      </c>
      <c r="AJ11" s="79">
        <v>0.5625</v>
      </c>
      <c r="AK11" s="79">
        <v>0.72916666666666663</v>
      </c>
      <c r="AL11" s="88">
        <f t="shared" si="10"/>
        <v>0.39583333333333326</v>
      </c>
      <c r="AM11" s="29">
        <f>(H11+M11+R11+W11+AB11+AG11+AL11)*24</f>
        <v>14.999999999999996</v>
      </c>
    </row>
    <row r="12" spans="1:39" ht="71.400000000000006" customHeight="1" thickBot="1" x14ac:dyDescent="0.75">
      <c r="A12" s="26">
        <v>5</v>
      </c>
      <c r="B12" s="102" t="s">
        <v>1</v>
      </c>
      <c r="C12" s="103"/>
      <c r="D12" s="59"/>
      <c r="E12" s="60"/>
      <c r="F12" s="60"/>
      <c r="G12" s="60"/>
      <c r="H12" s="43"/>
      <c r="I12" s="61"/>
      <c r="J12" s="62"/>
      <c r="K12" s="62"/>
      <c r="L12" s="62"/>
      <c r="M12" s="44"/>
      <c r="N12" s="63"/>
      <c r="O12" s="62"/>
      <c r="P12" s="62"/>
      <c r="Q12" s="62"/>
      <c r="R12" s="45"/>
      <c r="S12" s="63"/>
      <c r="T12" s="62"/>
      <c r="U12" s="62"/>
      <c r="V12" s="62"/>
      <c r="W12" s="45"/>
      <c r="X12" s="63"/>
      <c r="Y12" s="62"/>
      <c r="Z12" s="62"/>
      <c r="AA12" s="62"/>
      <c r="AB12" s="45"/>
      <c r="AC12" s="63"/>
      <c r="AD12" s="62"/>
      <c r="AE12" s="62"/>
      <c r="AF12" s="62"/>
      <c r="AG12" s="45"/>
      <c r="AH12" s="89"/>
      <c r="AI12" s="90"/>
      <c r="AJ12" s="90"/>
      <c r="AK12" s="90"/>
      <c r="AL12" s="45"/>
      <c r="AM12" s="30"/>
    </row>
    <row r="13" spans="1:39" ht="71.400000000000006" customHeight="1" x14ac:dyDescent="0.7">
      <c r="A13" s="27">
        <v>6</v>
      </c>
      <c r="B13" s="107" t="s">
        <v>14</v>
      </c>
      <c r="C13" s="108"/>
      <c r="D13" s="64"/>
      <c r="E13" s="65"/>
      <c r="F13" s="65"/>
      <c r="G13" s="65"/>
      <c r="H13" s="46"/>
      <c r="I13" s="66"/>
      <c r="J13" s="65"/>
      <c r="K13" s="65"/>
      <c r="L13" s="65"/>
      <c r="M13" s="47"/>
      <c r="N13" s="64"/>
      <c r="O13" s="65"/>
      <c r="P13" s="65"/>
      <c r="Q13" s="65"/>
      <c r="R13" s="48"/>
      <c r="S13" s="64"/>
      <c r="T13" s="65"/>
      <c r="U13" s="65"/>
      <c r="V13" s="65"/>
      <c r="W13" s="48"/>
      <c r="X13" s="64"/>
      <c r="Y13" s="65"/>
      <c r="Z13" s="65"/>
      <c r="AA13" s="65"/>
      <c r="AB13" s="48"/>
      <c r="AC13" s="64"/>
      <c r="AD13" s="65"/>
      <c r="AE13" s="65"/>
      <c r="AF13" s="65"/>
      <c r="AG13" s="48"/>
      <c r="AH13" s="64"/>
      <c r="AI13" s="65"/>
      <c r="AJ13" s="65"/>
      <c r="AK13" s="65"/>
      <c r="AL13" s="48"/>
      <c r="AM13" s="30"/>
    </row>
    <row r="14" spans="1:39" ht="71.400000000000006" customHeight="1" x14ac:dyDescent="0.7">
      <c r="A14" s="25">
        <v>7</v>
      </c>
      <c r="B14" s="100" t="s">
        <v>4</v>
      </c>
      <c r="C14" s="101"/>
      <c r="D14" s="96"/>
      <c r="E14" s="97"/>
      <c r="F14" s="97"/>
      <c r="G14" s="97"/>
      <c r="H14" s="49" t="s">
        <v>38</v>
      </c>
      <c r="I14" s="104"/>
      <c r="J14" s="97"/>
      <c r="K14" s="97"/>
      <c r="L14" s="97"/>
      <c r="M14" s="50" t="s">
        <v>38</v>
      </c>
      <c r="N14" s="96"/>
      <c r="O14" s="97"/>
      <c r="P14" s="97"/>
      <c r="Q14" s="97"/>
      <c r="R14" s="51" t="s">
        <v>38</v>
      </c>
      <c r="S14" s="96"/>
      <c r="T14" s="97"/>
      <c r="U14" s="97"/>
      <c r="V14" s="97"/>
      <c r="W14" s="51" t="s">
        <v>38</v>
      </c>
      <c r="X14" s="96"/>
      <c r="Y14" s="97"/>
      <c r="Z14" s="97"/>
      <c r="AA14" s="97"/>
      <c r="AB14" s="51" t="s">
        <v>38</v>
      </c>
      <c r="AC14" s="96"/>
      <c r="AD14" s="97"/>
      <c r="AE14" s="97"/>
      <c r="AF14" s="97"/>
      <c r="AG14" s="51" t="s">
        <v>38</v>
      </c>
      <c r="AH14" s="96"/>
      <c r="AI14" s="97"/>
      <c r="AJ14" s="97"/>
      <c r="AK14" s="97"/>
      <c r="AL14" s="51" t="s">
        <v>38</v>
      </c>
      <c r="AM14" s="31">
        <f>COUNTIF(D14:AL14,"YES")</f>
        <v>7</v>
      </c>
    </row>
    <row r="15" spans="1:39" ht="71.400000000000006" customHeight="1" x14ac:dyDescent="0.7">
      <c r="A15" s="25">
        <v>8</v>
      </c>
      <c r="B15" s="100" t="s">
        <v>15</v>
      </c>
      <c r="C15" s="101"/>
      <c r="D15" s="96"/>
      <c r="E15" s="97"/>
      <c r="F15" s="97"/>
      <c r="G15" s="97"/>
      <c r="H15" s="49" t="s">
        <v>38</v>
      </c>
      <c r="I15" s="104"/>
      <c r="J15" s="97"/>
      <c r="K15" s="97"/>
      <c r="L15" s="97"/>
      <c r="M15" s="49" t="s">
        <v>38</v>
      </c>
      <c r="N15" s="96"/>
      <c r="O15" s="97"/>
      <c r="P15" s="97"/>
      <c r="Q15" s="97"/>
      <c r="R15" s="49" t="s">
        <v>38</v>
      </c>
      <c r="S15" s="96"/>
      <c r="T15" s="97"/>
      <c r="U15" s="97"/>
      <c r="V15" s="97"/>
      <c r="W15" s="49" t="s">
        <v>38</v>
      </c>
      <c r="X15" s="96"/>
      <c r="Y15" s="97"/>
      <c r="Z15" s="97"/>
      <c r="AA15" s="97"/>
      <c r="AB15" s="49" t="s">
        <v>38</v>
      </c>
      <c r="AC15" s="96"/>
      <c r="AD15" s="97"/>
      <c r="AE15" s="97"/>
      <c r="AF15" s="97"/>
      <c r="AG15" s="51" t="s">
        <v>38</v>
      </c>
      <c r="AH15" s="96"/>
      <c r="AI15" s="97"/>
      <c r="AJ15" s="97"/>
      <c r="AK15" s="97"/>
      <c r="AL15" s="51" t="s">
        <v>38</v>
      </c>
      <c r="AM15" s="31">
        <f t="shared" ref="AM15:AM17" si="13">COUNTIF(D15:AL15,"YES")</f>
        <v>7</v>
      </c>
    </row>
    <row r="16" spans="1:39" ht="71.400000000000006" customHeight="1" x14ac:dyDescent="0.7">
      <c r="A16" s="25">
        <v>9</v>
      </c>
      <c r="B16" s="100" t="s">
        <v>16</v>
      </c>
      <c r="C16" s="101"/>
      <c r="D16" s="96"/>
      <c r="E16" s="97"/>
      <c r="F16" s="97"/>
      <c r="G16" s="97"/>
      <c r="H16" s="49" t="s">
        <v>38</v>
      </c>
      <c r="I16" s="104"/>
      <c r="J16" s="97"/>
      <c r="K16" s="97"/>
      <c r="L16" s="97"/>
      <c r="M16" s="49" t="s">
        <v>38</v>
      </c>
      <c r="N16" s="96"/>
      <c r="O16" s="97"/>
      <c r="P16" s="97"/>
      <c r="Q16" s="97"/>
      <c r="R16" s="49" t="s">
        <v>38</v>
      </c>
      <c r="S16" s="96"/>
      <c r="T16" s="97"/>
      <c r="U16" s="97"/>
      <c r="V16" s="97"/>
      <c r="W16" s="49" t="s">
        <v>38</v>
      </c>
      <c r="X16" s="96"/>
      <c r="Y16" s="97"/>
      <c r="Z16" s="97"/>
      <c r="AA16" s="97"/>
      <c r="AB16" s="49" t="s">
        <v>38</v>
      </c>
      <c r="AC16" s="96"/>
      <c r="AD16" s="97"/>
      <c r="AE16" s="97"/>
      <c r="AF16" s="97"/>
      <c r="AG16" s="49" t="s">
        <v>38</v>
      </c>
      <c r="AH16" s="96"/>
      <c r="AI16" s="97"/>
      <c r="AJ16" s="97"/>
      <c r="AK16" s="97"/>
      <c r="AL16" s="49" t="s">
        <v>38</v>
      </c>
      <c r="AM16" s="31">
        <f t="shared" si="13"/>
        <v>7</v>
      </c>
    </row>
    <row r="17" spans="1:39" ht="71.400000000000006" customHeight="1" x14ac:dyDescent="0.7">
      <c r="A17" s="25">
        <v>10</v>
      </c>
      <c r="B17" s="100" t="s">
        <v>17</v>
      </c>
      <c r="C17" s="101"/>
      <c r="D17" s="96"/>
      <c r="E17" s="97"/>
      <c r="F17" s="97"/>
      <c r="G17" s="97"/>
      <c r="H17" s="49"/>
      <c r="I17" s="104"/>
      <c r="J17" s="97"/>
      <c r="K17" s="97"/>
      <c r="L17" s="97"/>
      <c r="M17" s="50"/>
      <c r="N17" s="96"/>
      <c r="O17" s="97"/>
      <c r="P17" s="97"/>
      <c r="Q17" s="97"/>
      <c r="R17" s="51"/>
      <c r="S17" s="96"/>
      <c r="T17" s="97"/>
      <c r="U17" s="97"/>
      <c r="V17" s="97"/>
      <c r="W17" s="51"/>
      <c r="X17" s="96"/>
      <c r="Y17" s="97"/>
      <c r="Z17" s="97"/>
      <c r="AA17" s="97"/>
      <c r="AB17" s="49"/>
      <c r="AC17" s="96"/>
      <c r="AD17" s="97"/>
      <c r="AE17" s="97"/>
      <c r="AF17" s="97"/>
      <c r="AG17" s="51"/>
      <c r="AH17" s="96"/>
      <c r="AI17" s="97"/>
      <c r="AJ17" s="97"/>
      <c r="AK17" s="97"/>
      <c r="AL17" s="51"/>
      <c r="AM17" s="31">
        <f t="shared" si="13"/>
        <v>0</v>
      </c>
    </row>
    <row r="18" spans="1:39" ht="71.400000000000006" customHeight="1" thickBot="1" x14ac:dyDescent="0.75">
      <c r="A18" s="26">
        <v>11</v>
      </c>
      <c r="B18" s="102" t="s">
        <v>18</v>
      </c>
      <c r="C18" s="103"/>
      <c r="D18" s="105"/>
      <c r="E18" s="106"/>
      <c r="F18" s="106"/>
      <c r="G18" s="106"/>
      <c r="H18" s="52"/>
      <c r="I18" s="134"/>
      <c r="J18" s="106"/>
      <c r="K18" s="106"/>
      <c r="L18" s="106"/>
      <c r="M18" s="53"/>
      <c r="N18" s="105"/>
      <c r="O18" s="106"/>
      <c r="P18" s="106"/>
      <c r="Q18" s="106"/>
      <c r="R18" s="52"/>
      <c r="S18" s="105"/>
      <c r="T18" s="106"/>
      <c r="U18" s="106"/>
      <c r="V18" s="106"/>
      <c r="W18" s="52"/>
      <c r="X18" s="105"/>
      <c r="Y18" s="106"/>
      <c r="Z18" s="106"/>
      <c r="AA18" s="106"/>
      <c r="AB18" s="52"/>
      <c r="AC18" s="105"/>
      <c r="AD18" s="106"/>
      <c r="AE18" s="106"/>
      <c r="AF18" s="106"/>
      <c r="AG18" s="52"/>
      <c r="AH18" s="105"/>
      <c r="AI18" s="106"/>
      <c r="AJ18" s="106"/>
      <c r="AK18" s="106"/>
      <c r="AL18" s="52"/>
      <c r="AM18" s="30"/>
    </row>
    <row r="19" spans="1:39" ht="71.400000000000006" customHeight="1" x14ac:dyDescent="0.7">
      <c r="A19" s="28">
        <v>12</v>
      </c>
      <c r="B19" s="132" t="s">
        <v>19</v>
      </c>
      <c r="C19" s="133"/>
      <c r="D19" s="64"/>
      <c r="E19" s="65"/>
      <c r="F19" s="65"/>
      <c r="G19" s="65"/>
      <c r="H19" s="46"/>
      <c r="I19" s="66"/>
      <c r="J19" s="65"/>
      <c r="K19" s="65"/>
      <c r="L19" s="65"/>
      <c r="M19" s="47"/>
      <c r="N19" s="64"/>
      <c r="O19" s="65"/>
      <c r="P19" s="65"/>
      <c r="Q19" s="65"/>
      <c r="R19" s="48"/>
      <c r="S19" s="64"/>
      <c r="T19" s="65"/>
      <c r="U19" s="65"/>
      <c r="V19" s="65"/>
      <c r="W19" s="48"/>
      <c r="X19" s="64"/>
      <c r="Y19" s="65"/>
      <c r="Z19" s="65"/>
      <c r="AA19" s="65"/>
      <c r="AB19" s="48"/>
      <c r="AC19" s="66"/>
      <c r="AD19" s="65"/>
      <c r="AE19" s="65"/>
      <c r="AF19" s="65"/>
      <c r="AG19" s="48"/>
      <c r="AH19" s="64"/>
      <c r="AI19" s="65"/>
      <c r="AJ19" s="65"/>
      <c r="AK19" s="65"/>
      <c r="AL19" s="48"/>
      <c r="AM19" s="30"/>
    </row>
    <row r="20" spans="1:39" ht="71.400000000000006" customHeight="1" x14ac:dyDescent="0.7">
      <c r="A20" s="25">
        <v>13</v>
      </c>
      <c r="B20" s="112" t="s">
        <v>22</v>
      </c>
      <c r="C20" s="113"/>
      <c r="D20" s="67"/>
      <c r="E20" s="68"/>
      <c r="F20" s="68"/>
      <c r="G20" s="68"/>
      <c r="H20" s="49"/>
      <c r="I20" s="69"/>
      <c r="J20" s="68"/>
      <c r="K20" s="68"/>
      <c r="L20" s="68"/>
      <c r="M20" s="50"/>
      <c r="N20" s="67"/>
      <c r="O20" s="68"/>
      <c r="P20" s="68"/>
      <c r="Q20" s="68"/>
      <c r="R20" s="51"/>
      <c r="S20" s="67"/>
      <c r="T20" s="68"/>
      <c r="U20" s="68"/>
      <c r="V20" s="68"/>
      <c r="W20" s="51"/>
      <c r="X20" s="67"/>
      <c r="Y20" s="68"/>
      <c r="Z20" s="68"/>
      <c r="AA20" s="68"/>
      <c r="AB20" s="51"/>
      <c r="AC20" s="69"/>
      <c r="AD20" s="68"/>
      <c r="AE20" s="68"/>
      <c r="AF20" s="68"/>
      <c r="AG20" s="51"/>
      <c r="AH20" s="67"/>
      <c r="AI20" s="68"/>
      <c r="AJ20" s="68"/>
      <c r="AK20" s="68"/>
      <c r="AL20" s="51"/>
      <c r="AM20" s="30"/>
    </row>
    <row r="21" spans="1:39" ht="71.400000000000006" customHeight="1" x14ac:dyDescent="0.7">
      <c r="A21" s="25">
        <v>14</v>
      </c>
      <c r="B21" s="100" t="s">
        <v>20</v>
      </c>
      <c r="C21" s="101"/>
      <c r="D21" s="80"/>
      <c r="E21" s="79"/>
      <c r="F21" s="79"/>
      <c r="G21" s="79"/>
      <c r="H21" s="41">
        <f t="shared" ref="H21" si="14">(E21-D21)+(G21-F21)</f>
        <v>0</v>
      </c>
      <c r="I21" s="80"/>
      <c r="J21" s="79"/>
      <c r="K21" s="79"/>
      <c r="L21" s="79"/>
      <c r="M21" s="41">
        <f t="shared" ref="M21" si="15">(J21-I21)+(L21-K21)</f>
        <v>0</v>
      </c>
      <c r="N21" s="80"/>
      <c r="O21" s="79"/>
      <c r="P21" s="79"/>
      <c r="Q21" s="79"/>
      <c r="R21" s="41">
        <f t="shared" ref="R21" si="16">(O21-N21)+(Q21-P21)</f>
        <v>0</v>
      </c>
      <c r="S21" s="80"/>
      <c r="T21" s="79"/>
      <c r="U21" s="79"/>
      <c r="V21" s="79"/>
      <c r="W21" s="41">
        <f t="shared" ref="W21" si="17">(T21-S21)+(V21-U21)</f>
        <v>0</v>
      </c>
      <c r="X21" s="80"/>
      <c r="Y21" s="79"/>
      <c r="Z21" s="79"/>
      <c r="AA21" s="79"/>
      <c r="AB21" s="41">
        <f t="shared" ref="AB21" si="18">(Y21-X21)+(AA21-Z21)</f>
        <v>0</v>
      </c>
      <c r="AC21" s="70"/>
      <c r="AD21" s="57"/>
      <c r="AE21" s="57"/>
      <c r="AF21" s="57"/>
      <c r="AG21" s="41">
        <f t="shared" ref="AG21" si="19">(AD21-AC21)+(AF21-AE21)</f>
        <v>0</v>
      </c>
      <c r="AH21" s="67"/>
      <c r="AI21" s="68"/>
      <c r="AJ21" s="68"/>
      <c r="AK21" s="68"/>
      <c r="AL21" s="41">
        <f t="shared" ref="AL21" si="20">(AI21-AH21)+(AK21-AJ21)</f>
        <v>0</v>
      </c>
      <c r="AM21" s="29">
        <f t="shared" ref="AM21" si="21">(H21+M21+R21+W21+AB21+AG21+AL21)*24</f>
        <v>0</v>
      </c>
    </row>
    <row r="22" spans="1:39" ht="71.400000000000006" customHeight="1" x14ac:dyDescent="0.7">
      <c r="A22" s="25">
        <v>15</v>
      </c>
      <c r="B22" s="100" t="s">
        <v>23</v>
      </c>
      <c r="C22" s="101"/>
      <c r="D22" s="96"/>
      <c r="E22" s="97"/>
      <c r="F22" s="97"/>
      <c r="G22" s="97"/>
      <c r="H22" s="49"/>
      <c r="I22" s="104"/>
      <c r="J22" s="97"/>
      <c r="K22" s="97"/>
      <c r="L22" s="97"/>
      <c r="M22" s="50"/>
      <c r="N22" s="96"/>
      <c r="O22" s="97"/>
      <c r="P22" s="97"/>
      <c r="Q22" s="97"/>
      <c r="R22" s="51"/>
      <c r="S22" s="96"/>
      <c r="T22" s="97"/>
      <c r="U22" s="97"/>
      <c r="V22" s="97"/>
      <c r="W22" s="41"/>
      <c r="X22" s="96"/>
      <c r="Y22" s="97"/>
      <c r="Z22" s="97"/>
      <c r="AA22" s="97"/>
      <c r="AB22" s="51"/>
      <c r="AC22" s="104"/>
      <c r="AD22" s="97"/>
      <c r="AE22" s="97"/>
      <c r="AF22" s="97"/>
      <c r="AG22" s="51"/>
      <c r="AH22" s="96"/>
      <c r="AI22" s="97"/>
      <c r="AJ22" s="97"/>
      <c r="AK22" s="97"/>
      <c r="AL22" s="51"/>
      <c r="AM22" s="30"/>
    </row>
    <row r="23" spans="1:39" ht="71.400000000000006" customHeight="1" x14ac:dyDescent="0.7">
      <c r="A23" s="25">
        <v>16</v>
      </c>
      <c r="B23" s="100" t="s">
        <v>24</v>
      </c>
      <c r="C23" s="101"/>
      <c r="D23" s="96"/>
      <c r="E23" s="97"/>
      <c r="F23" s="97"/>
      <c r="G23" s="97"/>
      <c r="H23" s="49"/>
      <c r="I23" s="104"/>
      <c r="J23" s="97"/>
      <c r="K23" s="97"/>
      <c r="L23" s="97"/>
      <c r="M23" s="50"/>
      <c r="N23" s="96"/>
      <c r="O23" s="97"/>
      <c r="P23" s="97"/>
      <c r="Q23" s="97"/>
      <c r="R23" s="51"/>
      <c r="S23" s="96"/>
      <c r="T23" s="97"/>
      <c r="U23" s="97"/>
      <c r="V23" s="97"/>
      <c r="W23" s="51"/>
      <c r="X23" s="96"/>
      <c r="Y23" s="97"/>
      <c r="Z23" s="97"/>
      <c r="AA23" s="97"/>
      <c r="AB23" s="51"/>
      <c r="AC23" s="104"/>
      <c r="AD23" s="97"/>
      <c r="AE23" s="97"/>
      <c r="AF23" s="97"/>
      <c r="AG23" s="51"/>
      <c r="AH23" s="96"/>
      <c r="AI23" s="97"/>
      <c r="AJ23" s="97"/>
      <c r="AK23" s="97"/>
      <c r="AL23" s="51"/>
      <c r="AM23" s="30"/>
    </row>
    <row r="24" spans="1:39" ht="71.400000000000006" customHeight="1" x14ac:dyDescent="0.7">
      <c r="A24" s="25">
        <v>17</v>
      </c>
      <c r="B24" s="100" t="s">
        <v>25</v>
      </c>
      <c r="C24" s="101"/>
      <c r="D24" s="96"/>
      <c r="E24" s="97"/>
      <c r="F24" s="97"/>
      <c r="G24" s="97"/>
      <c r="H24" s="49"/>
      <c r="I24" s="104"/>
      <c r="J24" s="97"/>
      <c r="K24" s="97"/>
      <c r="L24" s="97"/>
      <c r="M24" s="50"/>
      <c r="N24" s="96"/>
      <c r="O24" s="97"/>
      <c r="P24" s="97"/>
      <c r="Q24" s="97"/>
      <c r="R24" s="51"/>
      <c r="S24" s="96"/>
      <c r="T24" s="97"/>
      <c r="U24" s="97"/>
      <c r="V24" s="97"/>
      <c r="W24" s="51"/>
      <c r="X24" s="96"/>
      <c r="Y24" s="97"/>
      <c r="Z24" s="97"/>
      <c r="AA24" s="97"/>
      <c r="AB24" s="51"/>
      <c r="AC24" s="104"/>
      <c r="AD24" s="97"/>
      <c r="AE24" s="97"/>
      <c r="AF24" s="97"/>
      <c r="AG24" s="51"/>
      <c r="AH24" s="96"/>
      <c r="AI24" s="97"/>
      <c r="AJ24" s="97"/>
      <c r="AK24" s="97"/>
      <c r="AL24" s="51"/>
      <c r="AM24" s="30"/>
    </row>
    <row r="25" spans="1:39" ht="71.400000000000006" customHeight="1" x14ac:dyDescent="0.7">
      <c r="A25" s="25">
        <v>18</v>
      </c>
      <c r="B25" s="100" t="s">
        <v>43</v>
      </c>
      <c r="C25" s="101"/>
      <c r="D25" s="67"/>
      <c r="E25" s="68"/>
      <c r="F25" s="68"/>
      <c r="G25" s="68"/>
      <c r="H25" s="42">
        <f>(E25-D25)+(G25-F25)</f>
        <v>0</v>
      </c>
      <c r="I25" s="71"/>
      <c r="J25" s="72"/>
      <c r="K25" s="72"/>
      <c r="L25" s="72"/>
      <c r="M25" s="42">
        <f>(J25-I25)+(L25-K25)</f>
        <v>0</v>
      </c>
      <c r="N25" s="73"/>
      <c r="O25" s="72"/>
      <c r="P25" s="72"/>
      <c r="Q25" s="72"/>
      <c r="R25" s="42">
        <f>(O25-N25)+(Q25-P25)</f>
        <v>0</v>
      </c>
      <c r="S25" s="73"/>
      <c r="T25" s="72"/>
      <c r="U25" s="72"/>
      <c r="V25" s="72"/>
      <c r="W25" s="42">
        <f>(T25-S25)+(V25-U25)</f>
        <v>0</v>
      </c>
      <c r="X25" s="73"/>
      <c r="Y25" s="72"/>
      <c r="Z25" s="72"/>
      <c r="AA25" s="72"/>
      <c r="AB25" s="42">
        <f>(Y25-X25)+(AA25-Z25)</f>
        <v>0</v>
      </c>
      <c r="AC25" s="71"/>
      <c r="AD25" s="72"/>
      <c r="AE25" s="72"/>
      <c r="AF25" s="72"/>
      <c r="AG25" s="42">
        <f>(AD25-AC25)+(AF25-AE25)</f>
        <v>0</v>
      </c>
      <c r="AH25" s="73"/>
      <c r="AI25" s="72"/>
      <c r="AJ25" s="72"/>
      <c r="AK25" s="72"/>
      <c r="AL25" s="42">
        <f>(AI25-AH25)+(AK25-AJ25)</f>
        <v>0</v>
      </c>
      <c r="AM25" s="32">
        <f>(H25+M25+R25+W25+AB25+AG25+AL25)*24</f>
        <v>0</v>
      </c>
    </row>
    <row r="26" spans="1:39" ht="71.400000000000006" customHeight="1" x14ac:dyDescent="0.7">
      <c r="A26" s="25">
        <v>19</v>
      </c>
      <c r="B26" s="100" t="s">
        <v>44</v>
      </c>
      <c r="C26" s="101"/>
      <c r="D26" s="56"/>
      <c r="E26" s="58"/>
      <c r="F26" s="57"/>
      <c r="G26" s="58"/>
      <c r="H26" s="42">
        <f>(E26-D26)+(G26-F26)</f>
        <v>0</v>
      </c>
      <c r="I26" s="71"/>
      <c r="J26" s="72"/>
      <c r="K26" s="72"/>
      <c r="L26" s="72"/>
      <c r="M26" s="42">
        <f>(J26-I26)+(L26-K26)</f>
        <v>0</v>
      </c>
      <c r="N26" s="73"/>
      <c r="O26" s="72"/>
      <c r="P26" s="72"/>
      <c r="Q26" s="72"/>
      <c r="R26" s="42">
        <f>(O26-N26)+(Q26-P26)</f>
        <v>0</v>
      </c>
      <c r="S26" s="73"/>
      <c r="T26" s="72"/>
      <c r="U26" s="72"/>
      <c r="V26" s="72"/>
      <c r="W26" s="42">
        <f>(T26-S26)+(V26-U26)</f>
        <v>0</v>
      </c>
      <c r="X26" s="73"/>
      <c r="Y26" s="72"/>
      <c r="Z26" s="72"/>
      <c r="AA26" s="72"/>
      <c r="AB26" s="42">
        <f>(Y26-X26)+(AA26-Z26)</f>
        <v>0</v>
      </c>
      <c r="AC26" s="71"/>
      <c r="AD26" s="72"/>
      <c r="AE26" s="72"/>
      <c r="AF26" s="72"/>
      <c r="AG26" s="42">
        <f>(AD26-AC26)+(AF26-AE26)</f>
        <v>0</v>
      </c>
      <c r="AH26" s="73"/>
      <c r="AI26" s="72"/>
      <c r="AJ26" s="72"/>
      <c r="AK26" s="72"/>
      <c r="AL26" s="42">
        <f>(AI26-AH26)+(AK26-AJ26)</f>
        <v>0</v>
      </c>
      <c r="AM26" s="32">
        <f t="shared" ref="AM26:AM30" si="22">(H26+M26+R26+W26+AB26+AG26+AL26)*24</f>
        <v>0</v>
      </c>
    </row>
    <row r="27" spans="1:39" ht="71.400000000000006" customHeight="1" x14ac:dyDescent="0.7">
      <c r="A27" s="25">
        <v>20</v>
      </c>
      <c r="B27" s="100" t="s">
        <v>26</v>
      </c>
      <c r="C27" s="101"/>
      <c r="D27" s="67"/>
      <c r="E27" s="68"/>
      <c r="F27" s="68"/>
      <c r="G27" s="68"/>
      <c r="H27" s="42">
        <f>(E27-D27)+(G27-F27)</f>
        <v>0</v>
      </c>
      <c r="I27" s="71"/>
      <c r="J27" s="72"/>
      <c r="K27" s="72"/>
      <c r="L27" s="72"/>
      <c r="M27" s="42">
        <f>(J27-I27)+(L27-K27)</f>
        <v>0</v>
      </c>
      <c r="N27" s="73"/>
      <c r="O27" s="72"/>
      <c r="P27" s="72"/>
      <c r="Q27" s="72"/>
      <c r="R27" s="42">
        <f>(O27-N27)+(Q27-P27)</f>
        <v>0</v>
      </c>
      <c r="S27" s="73"/>
      <c r="T27" s="72"/>
      <c r="U27" s="72"/>
      <c r="V27" s="72"/>
      <c r="W27" s="42">
        <f>(T27-S27)+(V27-U27)</f>
        <v>0</v>
      </c>
      <c r="X27" s="73"/>
      <c r="Y27" s="72"/>
      <c r="Z27" s="72"/>
      <c r="AA27" s="72"/>
      <c r="AB27" s="42">
        <f>(Y27-X27)+(AA27-Z27)</f>
        <v>0</v>
      </c>
      <c r="AC27" s="71"/>
      <c r="AD27" s="72"/>
      <c r="AE27" s="72"/>
      <c r="AF27" s="72"/>
      <c r="AG27" s="42">
        <f>(AD27-AC27)+(AF27-AE27)</f>
        <v>0</v>
      </c>
      <c r="AH27" s="73"/>
      <c r="AI27" s="72"/>
      <c r="AJ27" s="72"/>
      <c r="AK27" s="72"/>
      <c r="AL27" s="42">
        <f>(AI27-AH27)+(AK27-AJ27)</f>
        <v>0</v>
      </c>
      <c r="AM27" s="32">
        <f t="shared" si="22"/>
        <v>0</v>
      </c>
    </row>
    <row r="28" spans="1:39" ht="71.400000000000006" customHeight="1" x14ac:dyDescent="0.7">
      <c r="A28" s="25">
        <v>21</v>
      </c>
      <c r="B28" s="112" t="s">
        <v>27</v>
      </c>
      <c r="C28" s="113"/>
      <c r="D28" s="67"/>
      <c r="E28" s="68"/>
      <c r="F28" s="68"/>
      <c r="G28" s="68"/>
      <c r="H28" s="42"/>
      <c r="I28" s="69"/>
      <c r="J28" s="68"/>
      <c r="K28" s="68"/>
      <c r="L28" s="68"/>
      <c r="M28" s="42"/>
      <c r="N28" s="67"/>
      <c r="O28" s="68"/>
      <c r="P28" s="68"/>
      <c r="Q28" s="68"/>
      <c r="R28" s="42"/>
      <c r="S28" s="67"/>
      <c r="T28" s="68"/>
      <c r="U28" s="68"/>
      <c r="V28" s="68"/>
      <c r="W28" s="42"/>
      <c r="X28" s="67"/>
      <c r="Y28" s="68"/>
      <c r="Z28" s="68"/>
      <c r="AA28" s="68"/>
      <c r="AB28" s="42"/>
      <c r="AC28" s="69"/>
      <c r="AD28" s="68"/>
      <c r="AE28" s="68"/>
      <c r="AF28" s="68"/>
      <c r="AG28" s="42"/>
      <c r="AH28" s="67"/>
      <c r="AI28" s="68"/>
      <c r="AJ28" s="68"/>
      <c r="AK28" s="68"/>
      <c r="AL28" s="42"/>
      <c r="AM28" s="32"/>
    </row>
    <row r="29" spans="1:39" ht="71.400000000000006" customHeight="1" x14ac:dyDescent="0.7">
      <c r="A29" s="25">
        <v>22</v>
      </c>
      <c r="B29" s="100" t="s">
        <v>21</v>
      </c>
      <c r="C29" s="101"/>
      <c r="D29" s="67"/>
      <c r="E29" s="68"/>
      <c r="F29" s="68"/>
      <c r="G29" s="68"/>
      <c r="H29" s="42">
        <f>(E29-D29)+(G29-F29)</f>
        <v>0</v>
      </c>
      <c r="I29" s="69"/>
      <c r="J29" s="68"/>
      <c r="K29" s="68"/>
      <c r="L29" s="68"/>
      <c r="M29" s="42">
        <f>(J29-I29)+(L29-K29)</f>
        <v>0</v>
      </c>
      <c r="N29" s="67"/>
      <c r="O29" s="68"/>
      <c r="P29" s="68"/>
      <c r="Q29" s="68"/>
      <c r="R29" s="42">
        <f>(O29-N29)+(Q29-P29)</f>
        <v>0</v>
      </c>
      <c r="S29" s="67"/>
      <c r="T29" s="68"/>
      <c r="U29" s="68"/>
      <c r="V29" s="68"/>
      <c r="W29" s="42">
        <f>(T29-S29)+(V29-U29)</f>
        <v>0</v>
      </c>
      <c r="X29" s="67"/>
      <c r="Y29" s="74"/>
      <c r="Z29" s="68"/>
      <c r="AA29" s="68"/>
      <c r="AB29" s="42">
        <f>(Y29-X29)+(AA29-Z29)</f>
        <v>0</v>
      </c>
      <c r="AC29" s="69"/>
      <c r="AD29" s="68"/>
      <c r="AE29" s="68"/>
      <c r="AF29" s="68"/>
      <c r="AG29" s="42">
        <f>(AD29-AC29)+(AF29-AE29)</f>
        <v>0</v>
      </c>
      <c r="AH29" s="67"/>
      <c r="AI29" s="68"/>
      <c r="AJ29" s="68"/>
      <c r="AK29" s="68"/>
      <c r="AL29" s="42">
        <f>(AI29-AH29)+(AK29-AJ29)</f>
        <v>0</v>
      </c>
      <c r="AM29" s="32">
        <f t="shared" si="22"/>
        <v>0</v>
      </c>
    </row>
    <row r="30" spans="1:39" ht="71.400000000000006" customHeight="1" thickBot="1" x14ac:dyDescent="0.75">
      <c r="A30" s="26">
        <v>23</v>
      </c>
      <c r="B30" s="102" t="s">
        <v>28</v>
      </c>
      <c r="C30" s="103"/>
      <c r="D30" s="75"/>
      <c r="E30" s="76"/>
      <c r="F30" s="76"/>
      <c r="G30" s="76"/>
      <c r="H30" s="54">
        <f>(E30-D30)+(G30-F30)</f>
        <v>0</v>
      </c>
      <c r="I30" s="77"/>
      <c r="J30" s="76"/>
      <c r="K30" s="76"/>
      <c r="L30" s="76"/>
      <c r="M30" s="54">
        <f>(J30-I30)+(L30-K30)</f>
        <v>0</v>
      </c>
      <c r="N30" s="75"/>
      <c r="O30" s="55"/>
      <c r="P30" s="55"/>
      <c r="Q30" s="55"/>
      <c r="R30" s="54">
        <f>(O30-N30)+(Q30-P30)</f>
        <v>0</v>
      </c>
      <c r="S30" s="75"/>
      <c r="T30" s="55"/>
      <c r="U30" s="55"/>
      <c r="V30" s="55"/>
      <c r="W30" s="54">
        <f>(T30-S30)+(V30-U30)</f>
        <v>0</v>
      </c>
      <c r="X30" s="75"/>
      <c r="Y30" s="78"/>
      <c r="Z30" s="78"/>
      <c r="AA30" s="78"/>
      <c r="AB30" s="54">
        <f>(Y30-X30)+(AA30-Z30)</f>
        <v>0</v>
      </c>
      <c r="AC30" s="77"/>
      <c r="AD30" s="76"/>
      <c r="AE30" s="76"/>
      <c r="AF30" s="76"/>
      <c r="AG30" s="54">
        <f>(AD30-AC30)+(AF30-AE30)</f>
        <v>0</v>
      </c>
      <c r="AH30" s="75"/>
      <c r="AI30" s="76"/>
      <c r="AJ30" s="76"/>
      <c r="AK30" s="76"/>
      <c r="AL30" s="54">
        <f>(AI30-AH30)+(AK30-AJ30)</f>
        <v>0</v>
      </c>
      <c r="AM30" s="32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123"/>
      <c r="E31" s="124"/>
      <c r="F31" s="124"/>
      <c r="G31" s="124"/>
      <c r="H31" s="124"/>
      <c r="I31" s="91"/>
      <c r="J31" s="91"/>
      <c r="K31" s="91"/>
      <c r="L31" s="91"/>
      <c r="M31" s="92"/>
      <c r="N31" s="123"/>
      <c r="O31" s="124"/>
      <c r="P31" s="124"/>
      <c r="Q31" s="124"/>
      <c r="R31" s="125"/>
      <c r="S31" s="123"/>
      <c r="T31" s="124"/>
      <c r="U31" s="124"/>
      <c r="V31" s="124"/>
      <c r="W31" s="125"/>
      <c r="X31" s="91"/>
      <c r="Y31" s="91"/>
      <c r="Z31" s="91"/>
      <c r="AA31" s="91"/>
      <c r="AB31" s="92"/>
      <c r="AC31" s="91"/>
      <c r="AD31" s="91"/>
      <c r="AE31" s="91"/>
      <c r="AF31" s="91"/>
      <c r="AG31" s="91"/>
      <c r="AH31" s="91"/>
      <c r="AI31" s="91"/>
      <c r="AJ31" s="91"/>
      <c r="AK31" s="91"/>
      <c r="AL31" s="92"/>
      <c r="AM31" s="17"/>
    </row>
    <row r="32" spans="1:39" ht="53.25" customHeight="1" thickBot="1" x14ac:dyDescent="0.7">
      <c r="A32" s="155" t="s">
        <v>40</v>
      </c>
      <c r="B32" s="156"/>
      <c r="C32" s="156"/>
      <c r="D32" s="157"/>
      <c r="E32" s="157"/>
      <c r="F32" s="157"/>
      <c r="G32" s="158"/>
      <c r="H32" s="158"/>
      <c r="I32" s="159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60"/>
      <c r="B33" s="161"/>
      <c r="C33" s="161"/>
      <c r="D33" s="162"/>
      <c r="E33" s="162"/>
      <c r="F33" s="162"/>
      <c r="G33" s="163"/>
      <c r="H33" s="163"/>
      <c r="I33" s="164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09" t="s">
        <v>46</v>
      </c>
      <c r="X33" s="110"/>
      <c r="Y33" s="110"/>
      <c r="Z33" s="110"/>
      <c r="AA33" s="110"/>
      <c r="AB33" s="110"/>
      <c r="AC33" s="111"/>
      <c r="AD33" s="8"/>
      <c r="AF33" s="109" t="s">
        <v>47</v>
      </c>
      <c r="AG33" s="110"/>
      <c r="AH33" s="110"/>
      <c r="AI33" s="110"/>
      <c r="AJ33" s="110"/>
      <c r="AK33" s="110"/>
      <c r="AL33" s="111"/>
      <c r="AM33" s="7"/>
    </row>
    <row r="34" spans="1:39" ht="53.25" customHeight="1" thickBot="1" x14ac:dyDescent="0.75">
      <c r="M34" s="3"/>
      <c r="W34" s="114" t="s">
        <v>50</v>
      </c>
      <c r="X34" s="115"/>
      <c r="Y34" s="115"/>
      <c r="Z34" s="115"/>
      <c r="AA34" s="115"/>
      <c r="AB34" s="115"/>
      <c r="AC34" s="116"/>
      <c r="AD34" s="8"/>
      <c r="AF34" s="114" t="s">
        <v>51</v>
      </c>
      <c r="AG34" s="115"/>
      <c r="AH34" s="115"/>
      <c r="AI34" s="115"/>
      <c r="AJ34" s="115"/>
      <c r="AK34" s="115"/>
      <c r="AL34" s="116"/>
      <c r="AM34" s="7"/>
    </row>
    <row r="35" spans="1:39" ht="53.25" customHeight="1" x14ac:dyDescent="0.65">
      <c r="A35" s="155" t="s">
        <v>41</v>
      </c>
      <c r="B35" s="156"/>
      <c r="C35" s="156"/>
      <c r="D35" s="165"/>
      <c r="E35" s="165"/>
      <c r="F35" s="165"/>
      <c r="G35" s="166"/>
      <c r="H35" s="166"/>
      <c r="I35" s="167"/>
      <c r="J35" s="126" t="s">
        <v>48</v>
      </c>
      <c r="K35" s="127"/>
      <c r="L35" s="127"/>
      <c r="M35" s="127"/>
      <c r="N35" s="127"/>
      <c r="O35" s="127"/>
      <c r="P35" s="127"/>
      <c r="Q35" s="127"/>
      <c r="R35" s="127"/>
      <c r="S35" s="127"/>
      <c r="T35" s="128"/>
      <c r="W35" s="117"/>
      <c r="X35" s="118"/>
      <c r="Y35" s="118"/>
      <c r="Z35" s="118"/>
      <c r="AA35" s="118"/>
      <c r="AB35" s="118"/>
      <c r="AC35" s="119"/>
      <c r="AD35" s="8"/>
      <c r="AF35" s="117"/>
      <c r="AG35" s="118"/>
      <c r="AH35" s="118"/>
      <c r="AI35" s="118"/>
      <c r="AJ35" s="118"/>
      <c r="AK35" s="118"/>
      <c r="AL35" s="119"/>
      <c r="AM35" s="7"/>
    </row>
    <row r="36" spans="1:39" ht="53.25" customHeight="1" thickBot="1" x14ac:dyDescent="0.7">
      <c r="A36" s="160"/>
      <c r="B36" s="161"/>
      <c r="C36" s="161"/>
      <c r="D36" s="162"/>
      <c r="E36" s="162"/>
      <c r="F36" s="162"/>
      <c r="G36" s="163"/>
      <c r="H36" s="163"/>
      <c r="I36" s="164"/>
      <c r="J36" s="129"/>
      <c r="K36" s="130"/>
      <c r="L36" s="130"/>
      <c r="M36" s="130"/>
      <c r="N36" s="130"/>
      <c r="O36" s="130"/>
      <c r="P36" s="130"/>
      <c r="Q36" s="130"/>
      <c r="R36" s="130"/>
      <c r="S36" s="130"/>
      <c r="T36" s="131"/>
      <c r="W36" s="117"/>
      <c r="X36" s="118"/>
      <c r="Y36" s="118"/>
      <c r="Z36" s="118"/>
      <c r="AA36" s="118"/>
      <c r="AB36" s="118"/>
      <c r="AC36" s="119"/>
      <c r="AD36" s="8"/>
      <c r="AF36" s="117"/>
      <c r="AG36" s="118"/>
      <c r="AH36" s="118"/>
      <c r="AI36" s="118"/>
      <c r="AJ36" s="118"/>
      <c r="AK36" s="118"/>
      <c r="AL36" s="119"/>
    </row>
    <row r="37" spans="1:39" ht="53.25" customHeight="1" thickBot="1" x14ac:dyDescent="0.75">
      <c r="W37" s="117"/>
      <c r="X37" s="118"/>
      <c r="Y37" s="118"/>
      <c r="Z37" s="118"/>
      <c r="AA37" s="118"/>
      <c r="AB37" s="118"/>
      <c r="AC37" s="119"/>
      <c r="AD37" s="8"/>
      <c r="AF37" s="120"/>
      <c r="AG37" s="121"/>
      <c r="AH37" s="121"/>
      <c r="AI37" s="121"/>
      <c r="AJ37" s="121"/>
      <c r="AK37" s="121"/>
      <c r="AL37" s="122"/>
    </row>
    <row r="38" spans="1:39" ht="53.25" customHeight="1" x14ac:dyDescent="0.65">
      <c r="A38" s="155" t="s">
        <v>42</v>
      </c>
      <c r="B38" s="156"/>
      <c r="C38" s="156"/>
      <c r="D38" s="165"/>
      <c r="E38" s="165"/>
      <c r="F38" s="165"/>
      <c r="G38" s="166"/>
      <c r="H38" s="166"/>
      <c r="I38" s="167"/>
      <c r="W38" s="117"/>
      <c r="X38" s="118"/>
      <c r="Y38" s="118"/>
      <c r="Z38" s="118"/>
      <c r="AA38" s="118"/>
      <c r="AB38" s="118"/>
      <c r="AC38" s="119"/>
      <c r="AD38" s="8"/>
    </row>
    <row r="39" spans="1:39" ht="53.25" customHeight="1" thickBot="1" x14ac:dyDescent="0.7">
      <c r="A39" s="160"/>
      <c r="B39" s="161"/>
      <c r="C39" s="161"/>
      <c r="D39" s="162"/>
      <c r="E39" s="162"/>
      <c r="F39" s="162"/>
      <c r="G39" s="163"/>
      <c r="H39" s="163"/>
      <c r="I39" s="164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20"/>
      <c r="X39" s="121"/>
      <c r="Y39" s="121"/>
      <c r="Z39" s="121"/>
      <c r="AA39" s="121"/>
      <c r="AB39" s="121"/>
      <c r="AC39" s="122"/>
      <c r="AD39" s="8"/>
    </row>
    <row r="41" spans="1:39" ht="53.25" customHeight="1" x14ac:dyDescent="0.7">
      <c r="M41" s="10"/>
      <c r="W41" s="10"/>
      <c r="AM41" s="18">
        <v>12</v>
      </c>
    </row>
  </sheetData>
  <mergeCells count="128"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H23:AK23"/>
    <mergeCell ref="X15:AA15"/>
    <mergeCell ref="S15:V15"/>
    <mergeCell ref="N15:Q15"/>
    <mergeCell ref="S16:V16"/>
    <mergeCell ref="S17:V17"/>
    <mergeCell ref="S18:V18"/>
    <mergeCell ref="D14:G14"/>
    <mergeCell ref="B24:C24"/>
    <mergeCell ref="AC18:AF18"/>
    <mergeCell ref="X22:AA22"/>
    <mergeCell ref="X23:AA23"/>
    <mergeCell ref="AC24:AF24"/>
    <mergeCell ref="AH22:AK22"/>
    <mergeCell ref="N14:Q14"/>
    <mergeCell ref="B15:C15"/>
    <mergeCell ref="B16:C16"/>
    <mergeCell ref="B17:C17"/>
    <mergeCell ref="B18:C18"/>
    <mergeCell ref="B19:C19"/>
    <mergeCell ref="B20:C20"/>
    <mergeCell ref="I15:L15"/>
    <mergeCell ref="B21:C21"/>
    <mergeCell ref="I17:L17"/>
    <mergeCell ref="I18:L18"/>
    <mergeCell ref="W33:AC33"/>
    <mergeCell ref="B25:C25"/>
    <mergeCell ref="B26:C26"/>
    <mergeCell ref="B27:C27"/>
    <mergeCell ref="B28:C28"/>
    <mergeCell ref="B29:C29"/>
    <mergeCell ref="B30:C30"/>
    <mergeCell ref="AF33:AL33"/>
    <mergeCell ref="W34:AC39"/>
    <mergeCell ref="AF34:AL37"/>
    <mergeCell ref="N31:R31"/>
    <mergeCell ref="S31:W31"/>
    <mergeCell ref="D31:H31"/>
    <mergeCell ref="J35:T36"/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N22:Q22"/>
    <mergeCell ref="N23:Q23"/>
    <mergeCell ref="N17:Q17"/>
    <mergeCell ref="N18:Q18"/>
    <mergeCell ref="B13:C13"/>
    <mergeCell ref="B14:C14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M14:M17 R14:R17 AL14:AL17 W14:W17 AG14:AG17 AB14:AB17 H14:H17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2025-01-29T10:21:13Z</cp:lastPrinted>
  <dcterms:created xsi:type="dcterms:W3CDTF">2019-11-26T10:37:25Z</dcterms:created>
  <dcterms:modified xsi:type="dcterms:W3CDTF">2025-04-14T11:11:44Z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